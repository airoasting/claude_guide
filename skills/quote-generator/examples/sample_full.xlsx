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.입력" sheetId="1" state="visible" r:id="rId3"/>
    <sheet name="1.견적서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<sst xmlns="http://schemas.openxmlformats.org/spreadsheetml/2006/main" count="64" uniqueCount="53">
  <si>
    <t xml:space="preserve">견적 입력 시트</t>
  </si>
  <si>
    <t xml:space="preserve">🔵 파란셀=직접입력   ⬜ 회색셀=자동계산</t>
  </si>
  <si>
    <t xml:space="preserve">■ 고객사 정보</t>
  </si>
  <si>
    <t xml:space="preserve">법 인 명</t>
  </si>
  <si>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주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고객사</t>
    </r>
  </si>
  <si>
    <t xml:space="preserve">주     소</t>
  </si>
  <si>
    <r>
      <rPr>
        <sz val="10"/>
        <color rgb="FF000000"/>
        <rFont val="Noto Sans CJK SC"/>
        <family val="2"/>
      </rPr>
      <t xml:space="preserve">서울시 강남구 테헤란로 </t>
    </r>
    <r>
      <rPr>
        <sz val="10"/>
        <color rgb="FF000000"/>
        <rFont val="맑은 고딕"/>
        <family val="0"/>
        <charset val="1"/>
      </rPr>
      <t xml:space="preserve">100</t>
    </r>
  </si>
  <si>
    <t xml:space="preserve">견 적 번 호</t>
  </si>
  <si>
    <t xml:space="preserve">Q-2605-100</t>
  </si>
  <si>
    <t xml:space="preserve">담 당 자</t>
  </si>
  <si>
    <t xml:space="preserve">김고객</t>
  </si>
  <si>
    <t xml:space="preserve">연 락 처</t>
  </si>
  <si>
    <t xml:space="preserve">010-1111-2222</t>
  </si>
  <si>
    <t xml:space="preserve">이  메  일</t>
  </si>
  <si>
    <t xml:space="preserve">kim@customer.com</t>
  </si>
  <si>
    <t xml:space="preserve">발 행 일</t>
  </si>
  <si>
    <t xml:space="preserve">유 효 기 간</t>
  </si>
  <si>
    <t xml:space="preserve">발행일로부터 30일</t>
  </si>
  <si>
    <t xml:space="preserve">담 당 부 서</t>
  </si>
  <si>
    <t xml:space="preserve">구매팀</t>
  </si>
  <si>
    <t xml:space="preserve">■ 견적 항목 (최대 5개 — 파란셀=직접입력)</t>
  </si>
  <si>
    <t xml:space="preserve">#</t>
  </si>
  <si>
    <t xml:space="preserve">제품명</t>
  </si>
  <si>
    <t xml:space="preserve">수량</t>
  </si>
  <si>
    <t xml:space="preserve">단가
(원)</t>
  </si>
  <si>
    <t xml:space="preserve">공급가액
(자동)</t>
  </si>
  <si>
    <t xml:space="preserve">비고</t>
  </si>
  <si>
    <r>
      <rPr>
        <sz val="10"/>
        <color rgb="FF000000"/>
        <rFont val="Noto Sans CJK SC"/>
        <family val="2"/>
      </rPr>
      <t xml:space="preserve">샘플 제품 </t>
    </r>
    <r>
      <rPr>
        <sz val="10"/>
        <color rgb="FF000000"/>
        <rFont val="맑은 고딕"/>
        <family val="0"/>
        <charset val="1"/>
      </rPr>
      <t xml:space="preserve">A</t>
    </r>
  </si>
  <si>
    <r>
      <rPr>
        <sz val="10"/>
        <color rgb="FF000000"/>
        <rFont val="Noto Sans CJK SC"/>
        <family val="2"/>
      </rPr>
      <t xml:space="preserve">옵션</t>
    </r>
    <r>
      <rPr>
        <sz val="10"/>
        <color rgb="FF000000"/>
        <rFont val="맑은 고딕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</si>
  <si>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샘플 제품 </t>
    </r>
    <r>
      <rPr>
        <sz val="10"/>
        <color rgb="FF000000"/>
        <rFont val="맑은 고딕"/>
        <family val="0"/>
        <charset val="1"/>
      </rPr>
      <t xml:space="preserve">B</t>
    </r>
  </si>
  <si>
    <t xml:space="preserve">합 계 (VAT 별도)</t>
  </si>
  <si>
    <t xml:space="preserve">※ 공급가액 = 수량 × 단가 (자동계산).  제품명, 수량, 단가는 직접 입력하세요.</t>
  </si>
  <si>
    <t xml:space="preserve">견  적  서</t>
  </si>
  <si>
    <t xml:space="preserve">공
급
받
는
자</t>
  </si>
  <si>
    <t xml:space="preserve">공
급
자</t>
  </si>
  <si>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주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우리회사</t>
    </r>
  </si>
  <si>
    <t xml:space="preserve">등록번호</t>
  </si>
  <si>
    <t xml:space="preserve">123-45-67890</t>
  </si>
  <si>
    <t xml:space="preserve">대 표 자</t>
  </si>
  <si>
    <t xml:space="preserve">이대표</t>
  </si>
  <si>
    <t xml:space="preserve">경기도 분당구</t>
  </si>
  <si>
    <t xml:space="preserve">담당부서</t>
  </si>
  <si>
    <t xml:space="preserve">영업팀</t>
  </si>
  <si>
    <t xml:space="preserve">031-555-1234</t>
  </si>
  <si>
    <t xml:space="preserve">  상기와 같이 견적서를 제출합니다.</t>
  </si>
  <si>
    <t xml:space="preserve">■ 견적 상세 내역</t>
  </si>
  <si>
    <t xml:space="preserve">항    목</t>
  </si>
  <si>
    <t xml:space="preserve">단가</t>
  </si>
  <si>
    <t xml:space="preserve">공급가액</t>
  </si>
  <si>
    <t xml:space="preserve">합     계  (VAT 별도)</t>
  </si>
  <si>
    <t xml:space="preserve">원</t>
  </si>
  <si>
    <t xml:space="preserve">※ 본 견적서의 유효기간은 발행일로부터 30일이며, 부가가치세는 별도입니다.</t>
  </si>
  <si>
    <t xml:space="preserve">※ 단가 및 공급조건은 협의에 따라 변경될 수 있습니다.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</si>
</sst>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,##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Noto Sans CJK SC"/>
      <family val="2"/>
      <charset val="1"/>
    </font>
    <font>
      <sz val="9"/>
      <color rgb="FF000000"/>
      <name val="Noto Sans CJK SC"/>
      <family val="2"/>
      <charset val="1"/>
    </font>
    <font>
      <b val="true"/>
      <sz val="11"/>
      <color rgb="FF000000"/>
      <name val="Noto Sans CJK SC"/>
      <family val="2"/>
      <charset val="1"/>
    </font>
    <font>
      <b val="true"/>
      <sz val="10"/>
      <color rgb="FF000000"/>
      <name val="Noto Sans CJK SC"/>
      <family val="2"/>
      <charset val="1"/>
    </font>
    <font>
      <sz val="10"/>
      <color rgb="FF000000"/>
      <name val="맑은 고딕"/>
      <family val="0"/>
      <charset val="1"/>
    </font>
    <font>
      <sz val="10"/>
      <color rgb="FF000000"/>
      <name val="Noto Sans CJK SC"/>
      <family val="2"/>
    </font>
    <font>
      <sz val="10"/>
      <color rgb="FF000000"/>
      <name val="Noto Sans CJK SC"/>
      <family val="2"/>
      <charset val="1"/>
    </font>
    <font>
      <b val="true"/>
      <sz val="10"/>
      <color rgb="FFFFFFFF"/>
      <name val="맑은 고딕"/>
      <family val="0"/>
      <charset val="1"/>
    </font>
    <font>
      <b val="true"/>
      <sz val="10"/>
      <color rgb="FFFFFFFF"/>
      <name val="Noto Sans CJK SC"/>
      <family val="2"/>
      <charset val="1"/>
    </font>
    <font>
      <b val="true"/>
      <sz val="11"/>
      <color rgb="FF000000"/>
      <name val="맑은 고딕"/>
      <family val="0"/>
      <charset val="1"/>
    </font>
    <font>
      <b val="true"/>
      <sz val="24"/>
      <name val="Noto Sans CJK SC"/>
      <family val="2"/>
      <charset val="1"/>
    </font>
    <font>
      <b val="true"/>
      <sz val="12"/>
      <name val="Noto Sans CJK SC"/>
      <family val="2"/>
    </font>
    <font>
      <sz val="10"/>
      <name val="Noto Sans CJK SC"/>
      <family val="2"/>
      <charset val="1"/>
    </font>
    <font>
      <b val="true"/>
      <sz val="12"/>
      <color rgb="FF000000"/>
      <name val="Noto Sans CJK SC"/>
      <family val="2"/>
      <charset val="1"/>
    </font>
    <font>
      <b val="true"/>
      <sz val="12"/>
      <color rgb="FF000000"/>
      <name val="맑은 고딕"/>
      <family val="0"/>
      <charset val="1"/>
    </font>
    <font>
      <sz val="9"/>
      <color rgb="FF555555"/>
      <name val="Noto Sans CJK SC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344E7A"/>
        <bgColor rgb="FF555555"/>
      </patternFill>
    </fill>
    <fill>
      <patternFill patternType="solid">
        <fgColor rgb="FFFFFFFF"/>
        <bgColor rgb="FFF2F2F2"/>
      </patternFill>
    </fill>
    <fill>
      <patternFill patternType="solid">
        <fgColor rgb="FFD9E1F2"/>
        <bgColor rgb="FFDDEBF7"/>
      </patternFill>
    </fill>
    <fill>
      <patternFill patternType="solid">
        <fgColor rgb="FFF2F2F2"/>
        <bgColor rgb="FFEDEDED"/>
      </patternFill>
    </fill>
    <fill>
      <patternFill patternType="solid">
        <fgColor rgb="FFDDEBF7"/>
        <bgColor rgb="FFD9E1F2"/>
      </patternFill>
    </fill>
    <fill>
      <patternFill patternType="solid">
        <fgColor rgb="FFEDEDED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/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medium"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44E7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18"/>
    <col collapsed="false" customWidth="true" hidden="false" outlineLevel="0" max="9" min="9" style="1" width="14"/>
    <col collapsed="false" customWidth="true" hidden="false" outlineLevel="0" max="10" min="10" style="1" width="10"/>
    <col collapsed="false" customWidth="true" hidden="false" outlineLevel="0" max="11" min="11" style="1" width="20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21.7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customFormat="false" ht="24" hidden="false" customHeight="true" outlineLevel="0" collapsed="false">
      <c r="A5" s="5" t="s">
        <v>3</v>
      </c>
      <c r="B5" s="6" t="s">
        <v>4</v>
      </c>
      <c r="C5" s="6"/>
      <c r="D5" s="5" t="s">
        <v>5</v>
      </c>
      <c r="E5" s="7" t="s">
        <v>6</v>
      </c>
      <c r="F5" s="7"/>
      <c r="G5" s="5" t="s">
        <v>7</v>
      </c>
      <c r="H5" s="6" t="s">
        <v>8</v>
      </c>
      <c r="I5" s="6"/>
      <c r="J5" s="6"/>
      <c r="K5" s="6"/>
    </row>
    <row r="6" customFormat="false" ht="24" hidden="false" customHeight="true" outlineLevel="0" collapsed="false">
      <c r="A6" s="5" t="s">
        <v>9</v>
      </c>
      <c r="B6" s="7" t="s">
        <v>10</v>
      </c>
      <c r="C6" s="7"/>
      <c r="D6" s="5" t="s">
        <v>11</v>
      </c>
      <c r="E6" s="6" t="s">
        <v>12</v>
      </c>
      <c r="F6" s="6"/>
      <c r="G6" s="5" t="s">
        <v>13</v>
      </c>
      <c r="H6" s="6" t="s">
        <v>14</v>
      </c>
      <c r="I6" s="6"/>
      <c r="J6" s="6"/>
      <c r="K6" s="6"/>
    </row>
    <row r="7" customFormat="false" ht="24" hidden="false" customHeight="true" outlineLevel="0" collapsed="false">
      <c r="A7" s="5" t="s">
        <v>15</v>
      </c>
      <c r="B7" s="8" t="n">
        <f aca="true">TODAY()</f>
        <v>46154</v>
      </c>
      <c r="C7" s="8"/>
      <c r="D7" s="5" t="s">
        <v>16</v>
      </c>
      <c r="E7" s="9" t="s">
        <v>17</v>
      </c>
      <c r="F7" s="9"/>
      <c r="G7" s="5" t="s">
        <v>18</v>
      </c>
      <c r="H7" s="7" t="s">
        <v>19</v>
      </c>
      <c r="I7" s="7"/>
      <c r="J7" s="7"/>
      <c r="K7" s="7"/>
    </row>
    <row r="9" customFormat="false" ht="21.75" hidden="false" customHeight="true" outlineLevel="0" collapsed="false">
      <c r="A9" s="4" t="s">
        <v>20</v>
      </c>
      <c r="B9" s="4"/>
      <c r="C9" s="4"/>
      <c r="D9" s="4"/>
      <c r="E9" s="4"/>
      <c r="F9" s="4"/>
      <c r="G9" s="4"/>
      <c r="H9" s="4"/>
      <c r="I9" s="4"/>
      <c r="J9" s="4"/>
      <c r="K9" s="4"/>
    </row>
    <row r="10" customFormat="false" ht="31.5" hidden="false" customHeight="true" outlineLevel="0" collapsed="false">
      <c r="A10" s="10" t="s">
        <v>21</v>
      </c>
      <c r="B10" s="11" t="s">
        <v>22</v>
      </c>
      <c r="C10" s="11"/>
      <c r="D10" s="11"/>
      <c r="E10" s="11"/>
      <c r="F10" s="11" t="s">
        <v>23</v>
      </c>
      <c r="G10" s="11" t="s">
        <v>24</v>
      </c>
      <c r="H10" s="11" t="s">
        <v>25</v>
      </c>
      <c r="I10" s="11" t="s">
        <v>26</v>
      </c>
      <c r="J10" s="11"/>
      <c r="K10" s="11"/>
    </row>
    <row r="11" customFormat="false" ht="21.75" hidden="false" customHeight="true" outlineLevel="0" collapsed="false">
      <c r="A11" s="12" t="n">
        <v>1</v>
      </c>
      <c r="B11" s="13" t="s">
        <v>27</v>
      </c>
      <c r="C11" s="13"/>
      <c r="D11" s="13"/>
      <c r="E11" s="13"/>
      <c r="F11" s="14" t="n">
        <v>10</v>
      </c>
      <c r="G11" s="14" t="n">
        <v>100000</v>
      </c>
      <c r="H11" s="15" t="n">
        <f aca="false">IF(OR(F11="",G11="",F11=0,G11=0),"",F11*G11)</f>
        <v>1000000</v>
      </c>
      <c r="I11" s="13" t="s">
        <v>28</v>
      </c>
      <c r="J11" s="13"/>
      <c r="K11" s="13"/>
    </row>
    <row r="12" customFormat="false" ht="21.75" hidden="false" customHeight="true" outlineLevel="0" collapsed="false">
      <c r="A12" s="12" t="n">
        <v>2</v>
      </c>
      <c r="B12" s="13" t="s">
        <v>29</v>
      </c>
      <c r="C12" s="13"/>
      <c r="D12" s="13"/>
      <c r="E12" s="13"/>
      <c r="F12" s="14" t="n">
        <v>5</v>
      </c>
      <c r="G12" s="14" t="n">
        <v>50000</v>
      </c>
      <c r="H12" s="15" t="n">
        <f aca="false">IF(OR(F12="",G12="",F12=0,G12=0),"",F12*G12)</f>
        <v>250000</v>
      </c>
      <c r="I12" s="13"/>
      <c r="J12" s="13"/>
      <c r="K12" s="13"/>
    </row>
    <row r="13" customFormat="false" ht="21.75" hidden="false" customHeight="true" outlineLevel="0" collapsed="false">
      <c r="A13" s="12" t="n">
        <v>3</v>
      </c>
      <c r="B13" s="13"/>
      <c r="C13" s="13"/>
      <c r="D13" s="13"/>
      <c r="E13" s="13"/>
      <c r="F13" s="14"/>
      <c r="G13" s="14"/>
      <c r="H13" s="15" t="str">
        <f aca="false">IF(OR(F13="",G13="",F13=0,G13=0),"",F13*G13)</f>
        <v/>
      </c>
      <c r="I13" s="13"/>
      <c r="J13" s="13"/>
      <c r="K13" s="13"/>
    </row>
    <row r="14" customFormat="false" ht="21.75" hidden="false" customHeight="true" outlineLevel="0" collapsed="false">
      <c r="A14" s="12" t="n">
        <v>4</v>
      </c>
      <c r="B14" s="13"/>
      <c r="C14" s="13"/>
      <c r="D14" s="13"/>
      <c r="E14" s="13"/>
      <c r="F14" s="14"/>
      <c r="G14" s="14"/>
      <c r="H14" s="15" t="str">
        <f aca="false">IF(OR(F14="",G14="",F14=0,G14=0),"",F14*G14)</f>
        <v/>
      </c>
      <c r="I14" s="13"/>
      <c r="J14" s="13"/>
      <c r="K14" s="13"/>
    </row>
    <row r="15" customFormat="false" ht="21.75" hidden="false" customHeight="true" outlineLevel="0" collapsed="false">
      <c r="A15" s="12" t="n">
        <v>5</v>
      </c>
      <c r="B15" s="13"/>
      <c r="C15" s="13"/>
      <c r="D15" s="13"/>
      <c r="E15" s="13"/>
      <c r="F15" s="14"/>
      <c r="G15" s="14"/>
      <c r="H15" s="15" t="str">
        <f aca="false">IF(OR(F15="",G15="",F15=0,G15=0),"",F15*G15)</f>
        <v/>
      </c>
      <c r="I15" s="13"/>
      <c r="J15" s="13"/>
      <c r="K15" s="13"/>
    </row>
    <row r="17" customFormat="false" ht="25.5" hidden="false" customHeight="true" outlineLevel="0" collapsed="false">
      <c r="A17" s="16" t="s">
        <v>30</v>
      </c>
      <c r="B17" s="16"/>
      <c r="C17" s="16"/>
      <c r="D17" s="16"/>
      <c r="E17" s="16"/>
      <c r="F17" s="16"/>
      <c r="G17" s="16"/>
      <c r="H17" s="17" t="n">
        <f aca="false">IFERROR(SUM(H11:H15),0)</f>
        <v>1250000</v>
      </c>
      <c r="I17" s="18"/>
      <c r="J17" s="18"/>
      <c r="K17" s="18"/>
    </row>
    <row r="19" customFormat="false" ht="24" hidden="false" customHeight="true" outlineLevel="0" collapsed="false">
      <c r="A19" s="19" t="s">
        <v>31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</row>
  </sheetData>
  <mergeCells count="28">
    <mergeCell ref="A1:K1"/>
    <mergeCell ref="A2:K2"/>
    <mergeCell ref="A4:K4"/>
    <mergeCell ref="B5:C5"/>
    <mergeCell ref="E5:F5"/>
    <mergeCell ref="H5:K5"/>
    <mergeCell ref="B6:C6"/>
    <mergeCell ref="E6:F6"/>
    <mergeCell ref="H6:K6"/>
    <mergeCell ref="B7:C7"/>
    <mergeCell ref="E7:F7"/>
    <mergeCell ref="H7:K7"/>
    <mergeCell ref="A9:K9"/>
    <mergeCell ref="B10:E10"/>
    <mergeCell ref="I10:K10"/>
    <mergeCell ref="B11:E11"/>
    <mergeCell ref="I11:K11"/>
    <mergeCell ref="B12:E12"/>
    <mergeCell ref="I12:K12"/>
    <mergeCell ref="B13:E13"/>
    <mergeCell ref="I13:K13"/>
    <mergeCell ref="B14:E14"/>
    <mergeCell ref="I14:K14"/>
    <mergeCell ref="B15:E15"/>
    <mergeCell ref="I15:K15"/>
    <mergeCell ref="A17:G17"/>
    <mergeCell ref="I17:K17"/>
    <mergeCell ref="A19:K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3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0"/>
    <col collapsed="false" customWidth="true" hidden="false" outlineLevel="0" max="3" min="3" style="1" width="11"/>
    <col collapsed="false" customWidth="true" hidden="false" outlineLevel="0" max="5" min="4" style="1" width="13"/>
    <col collapsed="false" customWidth="true" hidden="false" outlineLevel="0" max="6" min="6" style="1" width="8"/>
    <col collapsed="false" customWidth="true" hidden="false" outlineLevel="0" max="7" min="7" style="1" width="12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0" min="10" style="1" width="14"/>
    <col collapsed="false" customWidth="true" hidden="false" outlineLevel="0" max="11" min="11" style="1" width="2"/>
  </cols>
  <sheetData>
    <row r="3" customFormat="false" ht="39.75" hidden="false" customHeight="true" outlineLevel="0" collapsed="false">
      <c r="B3" s="20" t="s">
        <v>32</v>
      </c>
      <c r="C3" s="20"/>
      <c r="D3" s="20"/>
      <c r="E3" s="20"/>
      <c r="F3" s="20"/>
      <c r="G3" s="20"/>
      <c r="H3" s="20"/>
      <c r="I3" s="20"/>
      <c r="J3" s="20"/>
    </row>
    <row r="5" customFormat="false" ht="21.75" hidden="false" customHeight="true" outlineLevel="0" collapsed="false">
      <c r="B5" s="21" t="s">
        <v>33</v>
      </c>
      <c r="C5" s="5" t="s">
        <v>3</v>
      </c>
      <c r="D5" s="22" t="str">
        <f aca="false">IF('0.입력'!B5="","",'0.입력'!B5)</f>
        <v>(주)고객사</v>
      </c>
      <c r="E5" s="22"/>
      <c r="F5" s="21" t="s">
        <v>34</v>
      </c>
      <c r="G5" s="5" t="s">
        <v>3</v>
      </c>
      <c r="H5" s="22" t="s">
        <v>35</v>
      </c>
      <c r="I5" s="22"/>
      <c r="J5" s="22"/>
    </row>
    <row r="6" customFormat="false" ht="21.75" hidden="false" customHeight="true" outlineLevel="0" collapsed="false">
      <c r="B6" s="21"/>
      <c r="C6" s="5" t="s">
        <v>5</v>
      </c>
      <c r="D6" s="22" t="str">
        <f aca="false">IF('0.입력'!E5="","",'0.입력'!E5)</f>
        <v>서울시 강남구 테헤란로 100</v>
      </c>
      <c r="E6" s="22"/>
      <c r="F6" s="21"/>
      <c r="G6" s="5" t="s">
        <v>36</v>
      </c>
      <c r="H6" s="22" t="s">
        <v>37</v>
      </c>
      <c r="I6" s="22"/>
      <c r="J6" s="22"/>
    </row>
    <row r="7" customFormat="false" ht="21.75" hidden="false" customHeight="true" outlineLevel="0" collapsed="false">
      <c r="B7" s="21"/>
      <c r="C7" s="5" t="s">
        <v>9</v>
      </c>
      <c r="D7" s="22" t="str">
        <f aca="false">IF('0.입력'!B6="","",'0.입력'!B6)</f>
        <v>김고객</v>
      </c>
      <c r="E7" s="22"/>
      <c r="F7" s="21"/>
      <c r="G7" s="5" t="s">
        <v>38</v>
      </c>
      <c r="H7" s="23" t="s">
        <v>39</v>
      </c>
      <c r="I7" s="23"/>
      <c r="J7" s="23"/>
    </row>
    <row r="8" customFormat="false" ht="21.75" hidden="false" customHeight="true" outlineLevel="0" collapsed="false">
      <c r="B8" s="21"/>
      <c r="C8" s="5" t="s">
        <v>11</v>
      </c>
      <c r="D8" s="22" t="str">
        <f aca="false">IF('0.입력'!E6="","",'0.입력'!E6)</f>
        <v>010-1111-2222</v>
      </c>
      <c r="E8" s="22"/>
      <c r="F8" s="21"/>
      <c r="G8" s="5" t="s">
        <v>5</v>
      </c>
      <c r="H8" s="23" t="s">
        <v>40</v>
      </c>
      <c r="I8" s="23"/>
      <c r="J8" s="23"/>
    </row>
    <row r="9" customFormat="false" ht="21.75" hidden="false" customHeight="true" outlineLevel="0" collapsed="false">
      <c r="B9" s="21"/>
      <c r="C9" s="5" t="s">
        <v>15</v>
      </c>
      <c r="D9" s="24" t="n">
        <f aca="false">IF('0.입력'!B7="","",'0.입력'!B7)</f>
        <v>46154</v>
      </c>
      <c r="E9" s="24"/>
      <c r="F9" s="21"/>
      <c r="G9" s="5" t="s">
        <v>41</v>
      </c>
      <c r="H9" s="23" t="s">
        <v>42</v>
      </c>
      <c r="I9" s="23"/>
      <c r="J9" s="23"/>
    </row>
    <row r="10" customFormat="false" ht="21.75" hidden="false" customHeight="true" outlineLevel="0" collapsed="false">
      <c r="B10" s="21"/>
      <c r="C10" s="5" t="s">
        <v>16</v>
      </c>
      <c r="D10" s="22" t="str">
        <f aca="false">IF('0.입력'!E7="","",'0.입력'!E7)</f>
        <v>발행일로부터 30일</v>
      </c>
      <c r="E10" s="22"/>
      <c r="F10" s="21"/>
      <c r="G10" s="5" t="s">
        <v>11</v>
      </c>
      <c r="H10" s="22" t="s">
        <v>43</v>
      </c>
      <c r="I10" s="22"/>
      <c r="J10" s="22"/>
    </row>
    <row r="13" customFormat="false" ht="24" hidden="false" customHeight="true" outlineLevel="0" collapsed="false">
      <c r="B13" s="25" t="str">
        <f aca="false">IF('0.입력'!B5="",""," 수  신 : "&amp;'0.입력'!B5&amp;"  귀중 ")</f>
        <v> 수  신 : (주)고객사  귀중 </v>
      </c>
      <c r="C13" s="25"/>
      <c r="D13" s="25"/>
      <c r="E13" s="25"/>
      <c r="F13" s="25"/>
      <c r="G13" s="25"/>
      <c r="H13" s="25"/>
      <c r="I13" s="25"/>
      <c r="J13" s="25"/>
    </row>
    <row r="14" customFormat="false" ht="19.5" hidden="false" customHeight="true" outlineLevel="0" collapsed="false">
      <c r="B14" s="26" t="s">
        <v>44</v>
      </c>
      <c r="C14" s="26"/>
      <c r="D14" s="26"/>
      <c r="E14" s="26"/>
      <c r="F14" s="26"/>
      <c r="G14" s="26"/>
      <c r="H14" s="26"/>
      <c r="I14" s="26"/>
      <c r="J14" s="26"/>
    </row>
    <row r="16" customFormat="false" ht="24" hidden="false" customHeight="true" outlineLevel="0" collapsed="false">
      <c r="B16" s="4" t="s">
        <v>45</v>
      </c>
      <c r="C16" s="4"/>
      <c r="D16" s="4"/>
      <c r="E16" s="4"/>
      <c r="F16" s="4"/>
      <c r="G16" s="4"/>
      <c r="H16" s="4"/>
      <c r="I16" s="4"/>
      <c r="J16" s="4"/>
    </row>
    <row r="18" customFormat="false" ht="27.75" hidden="false" customHeight="true" outlineLevel="0" collapsed="false">
      <c r="B18" s="11" t="s">
        <v>46</v>
      </c>
      <c r="C18" s="11"/>
      <c r="D18" s="11"/>
      <c r="E18" s="11" t="s">
        <v>23</v>
      </c>
      <c r="F18" s="11" t="s">
        <v>47</v>
      </c>
      <c r="G18" s="11" t="s">
        <v>48</v>
      </c>
      <c r="H18" s="11"/>
      <c r="I18" s="11" t="s">
        <v>26</v>
      </c>
      <c r="J18" s="11"/>
    </row>
    <row r="19" customFormat="false" ht="24" hidden="false" customHeight="true" outlineLevel="0" collapsed="false">
      <c r="B19" s="27" t="str">
        <f aca="false">IF('0.입력'!B11="","",'0.입력'!B11)</f>
        <v>샘플 제품 A</v>
      </c>
      <c r="C19" s="27"/>
      <c r="D19" s="27"/>
      <c r="E19" s="28" t="n">
        <f aca="false">IF('0.입력'!F11="","",'0.입력'!F11)</f>
        <v>10</v>
      </c>
      <c r="F19" s="28" t="n">
        <f aca="false">IF('0.입력'!G11="","",'0.입력'!G11)</f>
        <v>100000</v>
      </c>
      <c r="G19" s="28" t="n">
        <f aca="false">IF('0.입력'!H11="","",'0.입력'!H11)</f>
        <v>1000000</v>
      </c>
      <c r="H19" s="28"/>
      <c r="I19" s="27" t="str">
        <f aca="false">IF('0.입력'!I11="","",'0.입력'!I11)</f>
        <v>옵션1</v>
      </c>
      <c r="J19" s="27"/>
    </row>
    <row r="20" customFormat="false" ht="24" hidden="false" customHeight="true" outlineLevel="0" collapsed="false">
      <c r="B20" s="27" t="str">
        <f aca="false">IF('0.입력'!B12="","",'0.입력'!B12)</f>
        <v>샘플 제품 B</v>
      </c>
      <c r="C20" s="27"/>
      <c r="D20" s="27"/>
      <c r="E20" s="28" t="n">
        <f aca="false">IF('0.입력'!F12="","",'0.입력'!F12)</f>
        <v>5</v>
      </c>
      <c r="F20" s="28" t="n">
        <f aca="false">IF('0.입력'!G12="","",'0.입력'!G12)</f>
        <v>50000</v>
      </c>
      <c r="G20" s="28" t="n">
        <f aca="false">IF('0.입력'!H12="","",'0.입력'!H12)</f>
        <v>250000</v>
      </c>
      <c r="H20" s="28"/>
      <c r="I20" s="27" t="str">
        <f aca="false">IF('0.입력'!I12="","",'0.입력'!I12)</f>
        <v/>
      </c>
      <c r="J20" s="27"/>
    </row>
    <row r="21" customFormat="false" ht="24" hidden="false" customHeight="true" outlineLevel="0" collapsed="false">
      <c r="B21" s="27" t="str">
        <f aca="false">IF('0.입력'!B13="","",'0.입력'!B13)</f>
        <v/>
      </c>
      <c r="C21" s="27"/>
      <c r="D21" s="27"/>
      <c r="E21" s="28" t="str">
        <f aca="false">IF('0.입력'!F13="","",'0.입력'!F13)</f>
        <v/>
      </c>
      <c r="F21" s="28" t="str">
        <f aca="false">IF('0.입력'!G13="","",'0.입력'!G13)</f>
        <v/>
      </c>
      <c r="G21" s="28" t="str">
        <f aca="false">IF('0.입력'!H13="","",'0.입력'!H13)</f>
        <v/>
      </c>
      <c r="H21" s="28"/>
      <c r="I21" s="27" t="str">
        <f aca="false">IF('0.입력'!I13="","",'0.입력'!I13)</f>
        <v/>
      </c>
      <c r="J21" s="27"/>
    </row>
    <row r="22" customFormat="false" ht="24" hidden="false" customHeight="true" outlineLevel="0" collapsed="false">
      <c r="B22" s="27" t="str">
        <f aca="false">IF('0.입력'!B14="","",'0.입력'!B14)</f>
        <v/>
      </c>
      <c r="C22" s="27"/>
      <c r="D22" s="27"/>
      <c r="E22" s="28" t="str">
        <f aca="false">IF('0.입력'!F14="","",'0.입력'!F14)</f>
        <v/>
      </c>
      <c r="F22" s="28" t="str">
        <f aca="false">IF('0.입력'!G14="","",'0.입력'!G14)</f>
        <v/>
      </c>
      <c r="G22" s="28" t="str">
        <f aca="false">IF('0.입력'!H14="","",'0.입력'!H14)</f>
        <v/>
      </c>
      <c r="H22" s="28"/>
      <c r="I22" s="27" t="str">
        <f aca="false">IF('0.입력'!I14="","",'0.입력'!I14)</f>
        <v/>
      </c>
      <c r="J22" s="27"/>
    </row>
    <row r="23" customFormat="false" ht="24" hidden="false" customHeight="true" outlineLevel="0" collapsed="false">
      <c r="B23" s="27" t="str">
        <f aca="false">IF('0.입력'!B15="","",'0.입력'!B15)</f>
        <v/>
      </c>
      <c r="C23" s="27"/>
      <c r="D23" s="27"/>
      <c r="E23" s="28" t="str">
        <f aca="false">IF('0.입력'!F15="","",'0.입력'!F15)</f>
        <v/>
      </c>
      <c r="F23" s="28" t="str">
        <f aca="false">IF('0.입력'!G15="","",'0.입력'!G15)</f>
        <v/>
      </c>
      <c r="G23" s="28" t="str">
        <f aca="false">IF('0.입력'!H15="","",'0.입력'!H15)</f>
        <v/>
      </c>
      <c r="H23" s="28"/>
      <c r="I23" s="27" t="str">
        <f aca="false">IF('0.입력'!I15="","",'0.입력'!I15)</f>
        <v/>
      </c>
      <c r="J23" s="27"/>
    </row>
    <row r="25" customFormat="false" ht="27.75" hidden="false" customHeight="true" outlineLevel="0" collapsed="false">
      <c r="B25" s="29" t="s">
        <v>49</v>
      </c>
      <c r="C25" s="29"/>
      <c r="D25" s="29"/>
      <c r="E25" s="29"/>
      <c r="F25" s="29"/>
      <c r="G25" s="30" t="n">
        <f aca="false">IFERROR(SUM(G19:G23),0)</f>
        <v>1250000</v>
      </c>
      <c r="H25" s="30"/>
      <c r="I25" s="31" t="s">
        <v>50</v>
      </c>
      <c r="J25" s="31"/>
    </row>
    <row r="27" customFormat="false" ht="18" hidden="false" customHeight="true" outlineLevel="0" collapsed="false">
      <c r="B27" s="32" t="s">
        <v>51</v>
      </c>
      <c r="C27" s="32"/>
      <c r="D27" s="32"/>
      <c r="E27" s="32"/>
      <c r="F27" s="32"/>
      <c r="G27" s="32"/>
      <c r="H27" s="32"/>
      <c r="I27" s="32"/>
      <c r="J27" s="32"/>
    </row>
    <row r="28" customFormat="false" ht="18" hidden="false" customHeight="true" outlineLevel="0" collapsed="false">
      <c r="B28" s="32" t="s">
        <v>52</v>
      </c>
      <c r="C28" s="32"/>
      <c r="D28" s="32"/>
      <c r="E28" s="32"/>
      <c r="F28" s="32"/>
      <c r="G28" s="32"/>
      <c r="H28" s="32"/>
      <c r="I28" s="32"/>
      <c r="J28" s="32"/>
    </row>
  </sheetData>
  <mergeCells count="41">
    <mergeCell ref="B3:J3"/>
    <mergeCell ref="B5:B10"/>
    <mergeCell ref="D5:E5"/>
    <mergeCell ref="F5:F10"/>
    <mergeCell ref="H5:J5"/>
    <mergeCell ref="D6:E6"/>
    <mergeCell ref="H6:J6"/>
    <mergeCell ref="D7:E7"/>
    <mergeCell ref="H7:J7"/>
    <mergeCell ref="D8:E8"/>
    <mergeCell ref="H8:J8"/>
    <mergeCell ref="D9:E9"/>
    <mergeCell ref="H9:J9"/>
    <mergeCell ref="D10:E10"/>
    <mergeCell ref="H10:J10"/>
    <mergeCell ref="B13:J13"/>
    <mergeCell ref="B14:J14"/>
    <mergeCell ref="B16:J16"/>
    <mergeCell ref="B18:D18"/>
    <mergeCell ref="G18:H18"/>
    <mergeCell ref="I18:J18"/>
    <mergeCell ref="B19:D19"/>
    <mergeCell ref="G19:H19"/>
    <mergeCell ref="I19:J19"/>
    <mergeCell ref="B20:D20"/>
    <mergeCell ref="G20:H20"/>
    <mergeCell ref="I20:J20"/>
    <mergeCell ref="B21:D21"/>
    <mergeCell ref="G21:H21"/>
    <mergeCell ref="I21:J21"/>
    <mergeCell ref="B22:D22"/>
    <mergeCell ref="G22:H22"/>
    <mergeCell ref="I22:J22"/>
    <mergeCell ref="B23:D23"/>
    <mergeCell ref="G23:H23"/>
    <mergeCell ref="I23:J23"/>
    <mergeCell ref="B25:F25"/>
    <mergeCell ref="G25:H25"/>
    <mergeCell ref="I25:J25"/>
    <mergeCell ref="B27:J27"/>
    <mergeCell ref="B28:J28"/>
  </mergeCells>
  <printOptions headings="false" gridLines="false" gridLinesSet="true" horizontalCentered="false" verticalCentered="false"/>
  <pageMargins left="0.5" right="0.5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2026-05-12T13:32:41Z</dcterms:created>
  <dc:creator>openpyxl</dc:creator>
  <dc:description/>
  <dc:language>en-US</dc:language>
  <cp:lastModifiedBy/>
  <dcterms:modified xsi:type="dcterms:W3CDTF">2026-05-12T13:37:20Z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